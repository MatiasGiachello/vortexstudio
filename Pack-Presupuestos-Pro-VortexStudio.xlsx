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Seguimiento de proyectos" sheetId="2" state="visible" r:id="rId2"/>
    <sheet xmlns:r="http://schemas.openxmlformats.org/officeDocument/2006/relationships" name="Calculadora de pre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FFFFFF"/>
      <sz val="16"/>
    </font>
    <font>
      <name val="Arial"/>
      <color rgb="005A6270"/>
      <sz val="9"/>
    </font>
    <font>
      <name val="Arial"/>
      <b val="1"/>
      <color rgb="000D0F14"/>
      <sz val="9"/>
    </font>
    <font>
      <name val="Arial"/>
      <b val="1"/>
      <color rgb="000F3A9E"/>
      <sz val="9"/>
    </font>
    <font>
      <name val="Arial"/>
      <b val="1"/>
      <color rgb="005A6270"/>
      <sz val="9"/>
    </font>
    <font>
      <name val="Arial"/>
      <color rgb="000D0F14"/>
      <sz val="9"/>
    </font>
    <font>
      <name val="Arial"/>
      <b val="1"/>
      <color rgb="00FFFFFF"/>
      <sz val="9"/>
    </font>
    <font>
      <name val="Arial"/>
      <color rgb="0022C55E"/>
      <sz val="9"/>
    </font>
    <font>
      <name val="Arial"/>
      <b val="1"/>
      <color rgb="000D0F14"/>
      <sz val="10"/>
    </font>
    <font>
      <name val="Arial"/>
      <color rgb="005A6270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856404"/>
      <sz val="9"/>
    </font>
    <font>
      <name val="Arial"/>
      <b val="1"/>
      <color rgb="00065F46"/>
      <sz val="9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0D0F14"/>
      <sz val="10"/>
    </font>
    <font>
      <name val="Arial"/>
      <b val="1"/>
      <color rgb="000000FF"/>
      <sz val="10"/>
    </font>
    <font>
      <name val="Arial"/>
      <b val="1"/>
      <color rgb="000F3A9E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F3A9E"/>
        <bgColor rgb="000F3A9E"/>
      </patternFill>
    </fill>
    <fill>
      <patternFill patternType="solid">
        <fgColor rgb="001A56DB"/>
        <bgColor rgb="001A56DB"/>
      </patternFill>
    </fill>
    <fill>
      <patternFill patternType="solid">
        <fgColor rgb="00E8F0FE"/>
        <bgColor rgb="00E8F0FE"/>
      </patternFill>
    </fill>
    <fill>
      <patternFill patternType="solid">
        <fgColor rgb="00FFFFFF"/>
        <bgColor rgb="00FFFFFF"/>
      </patternFill>
    </fill>
    <fill>
      <patternFill patternType="solid">
        <fgColor rgb="00F7F8FA"/>
        <bgColor rgb="00F7F8FA"/>
      </patternFill>
    </fill>
    <fill>
      <patternFill patternType="solid">
        <fgColor rgb="00FFF3CD"/>
        <bgColor rgb="00FFF3CD"/>
      </patternFill>
    </fill>
    <fill>
      <patternFill patternType="solid">
        <fgColor rgb="00D1FAE5"/>
        <bgColor rgb="00D1FAE5"/>
      </patternFill>
    </fill>
    <fill>
      <patternFill patternType="solid">
        <fgColor rgb="00EEF2FF"/>
        <bgColor rgb="00EEF2FF"/>
      </patternFill>
    </fill>
  </fills>
  <borders count="6">
    <border>
      <left/>
      <right/>
      <top/>
      <bottom/>
      <diagonal/>
    </border>
    <border>
      <bottom style="thin">
        <color rgb="00D0D5DD"/>
      </bottom>
    </border>
    <border>
      <left style="thin">
        <color rgb="001A56DB"/>
      </left>
      <right style="thin">
        <color rgb="001A56DB"/>
      </right>
      <top style="thin">
        <color rgb="001A56DB"/>
      </top>
      <bottom style="thin">
        <color rgb="001A56DB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medium">
        <color rgb="000F3A9E"/>
      </top>
    </border>
    <border>
      <bottom style="medium">
        <color rgb="001A56D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center" vertical="center"/>
    </xf>
    <xf numFmtId="165" fontId="7" fillId="5" borderId="3" applyAlignment="1" pivotButton="0" quotePrefix="0" xfId="0">
      <alignment horizontal="center" vertical="center"/>
    </xf>
    <xf numFmtId="165" fontId="4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165" fontId="4" fillId="6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165" fontId="10" fillId="6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165" fontId="11" fillId="6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right" vertical="center" indent="2"/>
    </xf>
    <xf numFmtId="165" fontId="1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3" fillId="0" borderId="4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2"/>
    </xf>
    <xf numFmtId="0" fontId="5" fillId="4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 vertical="center" indent="2"/>
    </xf>
    <xf numFmtId="165" fontId="16" fillId="3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indent="2"/>
    </xf>
    <xf numFmtId="0" fontId="18" fillId="0" borderId="0" applyAlignment="1" pivotButton="0" quotePrefix="0" xfId="0">
      <alignment horizontal="left" vertical="center" wrapText="1"/>
    </xf>
    <xf numFmtId="0" fontId="19" fillId="9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right" vertical="center" indent="2"/>
    </xf>
    <xf numFmtId="165" fontId="20" fillId="6" borderId="3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165" fontId="21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1" ht="8" customHeight="1"/>
    <row r="2" ht="50" customHeight="1">
      <c r="B2" s="1" t="inlineStr">
        <is>
          <t>VORTEX STUDIO</t>
        </is>
      </c>
      <c r="E2" s="2" t="inlineStr">
        <is>
          <t>PRESUPUESTO</t>
        </is>
      </c>
    </row>
    <row r="3" ht="22" customHeight="1">
      <c r="B3" s="3" t="inlineStr">
        <is>
          <t>Agencia de presencia digital · hola@vortexstudio.com</t>
        </is>
      </c>
      <c r="E3" s="4" t="inlineStr">
        <is>
          <t>N° Presupuesto:</t>
        </is>
      </c>
      <c r="F3" s="5">
        <f>"PRES-"&amp;TEXT(TODAY(),"YYYYMMDD")</f>
        <v/>
      </c>
    </row>
    <row r="4" ht="18" customHeight="1"/>
    <row r="5" ht="20" customHeight="1">
      <c r="B5" s="6" t="inlineStr">
        <is>
          <t>DATOS DEL CLIENTE</t>
        </is>
      </c>
      <c r="E5" s="6" t="inlineStr">
        <is>
          <t>DETALLES DEL PRESUPUESTO</t>
        </is>
      </c>
    </row>
    <row r="6" ht="20" customHeight="1">
      <c r="B6" s="7" t="inlineStr">
        <is>
          <t>Empresa / Nombre:</t>
        </is>
      </c>
      <c r="C6" s="8" t="inlineStr"/>
      <c r="E6" s="9" t="inlineStr">
        <is>
          <t>Fecha:</t>
        </is>
      </c>
      <c r="F6" s="10">
        <f>TODAY()</f>
        <v/>
      </c>
    </row>
    <row r="7" ht="20" customHeight="1">
      <c r="B7" s="7" t="inlineStr">
        <is>
          <t>Email:</t>
        </is>
      </c>
      <c r="C7" s="8" t="inlineStr"/>
      <c r="E7" s="9" t="inlineStr">
        <is>
          <t>Válido hasta:</t>
        </is>
      </c>
      <c r="F7" s="10">
        <f>TODAY()+30</f>
        <v/>
      </c>
    </row>
    <row r="8" ht="20" customHeight="1">
      <c r="B8" s="7" t="inlineStr">
        <is>
          <t>Teléfono:</t>
        </is>
      </c>
      <c r="C8" s="8" t="inlineStr"/>
      <c r="E8" s="9" t="inlineStr">
        <is>
          <t>Moneda:</t>
        </is>
      </c>
      <c r="F8" s="5" t="inlineStr">
        <is>
          <t>USD</t>
        </is>
      </c>
    </row>
    <row r="9" ht="20" customHeight="1">
      <c r="B9" s="7" t="inlineStr">
        <is>
          <t>Dirección:</t>
        </is>
      </c>
      <c r="C9" s="8" t="inlineStr"/>
      <c r="E9" s="9" t="inlineStr">
        <is>
          <t>Forma de pago:</t>
        </is>
      </c>
      <c r="F9" s="5" t="inlineStr">
        <is>
          <t>50% adelanto / 50% entrega</t>
        </is>
      </c>
    </row>
    <row r="10" ht="18" customHeight="1"/>
    <row r="11" ht="22" customHeight="1">
      <c r="A11" s="11" t="inlineStr">
        <is>
          <t>#</t>
        </is>
      </c>
      <c r="B11" s="11" t="inlineStr">
        <is>
          <t>Descripción del servicio / producto</t>
        </is>
      </c>
      <c r="C11" s="11" t="inlineStr">
        <is>
          <t>Cantidad</t>
        </is>
      </c>
      <c r="D11" s="11" t="inlineStr">
        <is>
          <t>Precio unit.</t>
        </is>
      </c>
      <c r="E11" s="11" t="inlineStr">
        <is>
          <t>Descuento</t>
        </is>
      </c>
      <c r="F11" s="11" t="inlineStr">
        <is>
          <t>Subtotal</t>
        </is>
      </c>
    </row>
    <row r="12" ht="20" customHeight="1">
      <c r="A12" s="12" t="n">
        <v>1</v>
      </c>
      <c r="B12" s="13" t="inlineStr">
        <is>
          <t>Diseño web profesional (landing page)</t>
        </is>
      </c>
      <c r="C12" s="14" t="n">
        <v>1</v>
      </c>
      <c r="D12" s="15" t="n">
        <v>150</v>
      </c>
      <c r="E12" s="14" t="inlineStr"/>
      <c r="F12" s="16">
        <f>C12*D12</f>
        <v/>
      </c>
    </row>
    <row r="13" ht="20" customHeight="1">
      <c r="A13" s="17" t="n">
        <v>2</v>
      </c>
      <c r="B13" s="18" t="inlineStr">
        <is>
          <t>Identidad de marca (logo + paleta + guía)</t>
        </is>
      </c>
      <c r="C13" s="19" t="n">
        <v>1</v>
      </c>
      <c r="D13" s="20" t="n">
        <v>120</v>
      </c>
      <c r="E13" s="19" t="inlineStr"/>
      <c r="F13" s="21">
        <f>C13*D13</f>
        <v/>
      </c>
    </row>
    <row r="14" ht="20" customHeight="1">
      <c r="A14" s="12" t="n">
        <v>3</v>
      </c>
      <c r="B14" s="13" t="inlineStr">
        <is>
          <t>Gestión de redes sociales (mensual)</t>
        </is>
      </c>
      <c r="C14" s="14" t="n">
        <v>3</v>
      </c>
      <c r="D14" s="15" t="n">
        <v>80</v>
      </c>
      <c r="E14" s="22" t="inlineStr">
        <is>
          <t>10%</t>
        </is>
      </c>
      <c r="F14" s="16">
        <f>C14*D14*(1-E14/100)</f>
        <v/>
      </c>
    </row>
    <row r="15" ht="20" customHeight="1">
      <c r="A15" s="17" t="n">
        <v>4</v>
      </c>
      <c r="B15" s="18" t="inlineStr"/>
      <c r="C15" s="19" t="inlineStr"/>
      <c r="D15" s="20" t="inlineStr"/>
      <c r="E15" s="19" t="inlineStr"/>
      <c r="F15" s="21" t="inlineStr"/>
    </row>
    <row r="16" ht="20" customHeight="1">
      <c r="A16" s="12" t="n">
        <v>5</v>
      </c>
      <c r="B16" s="13" t="inlineStr"/>
      <c r="C16" s="14" t="inlineStr"/>
      <c r="D16" s="15" t="inlineStr"/>
      <c r="E16" s="14" t="inlineStr"/>
      <c r="F16" s="16" t="inlineStr"/>
    </row>
    <row r="17" ht="20" customHeight="1">
      <c r="A17" s="17" t="n">
        <v>6</v>
      </c>
      <c r="B17" s="18" t="inlineStr"/>
      <c r="C17" s="19" t="inlineStr"/>
      <c r="D17" s="20" t="inlineStr"/>
      <c r="E17" s="19" t="inlineStr"/>
      <c r="F17" s="21" t="inlineStr"/>
    </row>
    <row r="18" ht="20" customHeight="1">
      <c r="A18" s="12" t="n">
        <v>7</v>
      </c>
      <c r="B18" s="13" t="inlineStr"/>
      <c r="C18" s="14" t="inlineStr"/>
      <c r="D18" s="15" t="inlineStr"/>
      <c r="E18" s="14" t="inlineStr"/>
      <c r="F18" s="16" t="inlineStr"/>
    </row>
    <row r="19" ht="20" customHeight="1">
      <c r="A19" s="17" t="n">
        <v>8</v>
      </c>
      <c r="B19" s="18" t="inlineStr"/>
      <c r="C19" s="19" t="inlineStr"/>
      <c r="D19" s="20" t="inlineStr"/>
      <c r="E19" s="19" t="inlineStr"/>
      <c r="F19" s="21" t="inlineStr"/>
    </row>
    <row r="20" ht="18" customHeight="1"/>
    <row r="21" ht="4" customHeight="1"/>
    <row r="22" ht="20" customHeight="1">
      <c r="B22" s="23" t="inlineStr">
        <is>
          <t>Subtotal</t>
        </is>
      </c>
      <c r="F22" s="24">
        <f>SUM(F12:F19)</f>
        <v/>
      </c>
    </row>
    <row r="23" ht="20" customHeight="1">
      <c r="B23" s="25" t="inlineStr">
        <is>
          <t>IVA (21%)</t>
        </is>
      </c>
      <c r="F23" s="26">
        <f>F22*0.21</f>
        <v/>
      </c>
    </row>
    <row r="24" ht="26" customHeight="1">
      <c r="B24" s="27" t="inlineStr">
        <is>
          <t>TOTAL</t>
        </is>
      </c>
      <c r="F24" s="28">
        <f>F22+F23</f>
        <v/>
      </c>
    </row>
    <row r="25" ht="18" customHeight="1"/>
    <row r="26" ht="20" customHeight="1">
      <c r="B26" s="6" t="inlineStr">
        <is>
          <t>TÉRMINOS Y CONDICIONES</t>
        </is>
      </c>
    </row>
    <row r="27" ht="16" customHeight="1">
      <c r="B27" s="29" t="inlineStr">
        <is>
          <t>· El presupuesto tiene validez de 30 días desde la fecha de emisión.</t>
        </is>
      </c>
    </row>
    <row r="28" ht="16" customHeight="1">
      <c r="B28" s="29" t="inlineStr">
        <is>
          <t>· El trabajo comienza una vez confirmado el adelanto del 50%.</t>
        </is>
      </c>
    </row>
    <row r="29" ht="16" customHeight="1">
      <c r="B29" s="29" t="inlineStr">
        <is>
          <t>· Las revisiones incluidas son 2 rondas por entregable.</t>
        </is>
      </c>
    </row>
    <row r="30" ht="16" customHeight="1">
      <c r="B30" s="29" t="inlineStr">
        <is>
          <t>· Los plazos de entrega se cuentan desde la aprobación y pago del adelanto.</t>
        </is>
      </c>
    </row>
    <row r="31" ht="18" customHeight="1"/>
    <row r="32" ht="20" customHeight="1">
      <c r="B32" s="30" t="inlineStr">
        <is>
          <t>Firma del cliente</t>
        </is>
      </c>
      <c r="E32" s="30" t="inlineStr">
        <is>
          <t>Firma Vortex Studio</t>
        </is>
      </c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5">
    <mergeCell ref="B30:F30"/>
    <mergeCell ref="B23:E23"/>
    <mergeCell ref="B3:D3"/>
    <mergeCell ref="B22:E22"/>
    <mergeCell ref="B29:F29"/>
    <mergeCell ref="E2:F2"/>
    <mergeCell ref="B5:C5"/>
    <mergeCell ref="B28:F28"/>
    <mergeCell ref="E5:F5"/>
    <mergeCell ref="B24:E24"/>
    <mergeCell ref="B32:C33"/>
    <mergeCell ref="E32:F33"/>
    <mergeCell ref="B26:F26"/>
    <mergeCell ref="B27:F27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2" ht="40" customHeight="1">
      <c r="B2" s="31" t="inlineStr">
        <is>
          <t>SEGUIMIENTO DE PROYECTOS — VORTEX STUDIO</t>
        </is>
      </c>
    </row>
    <row r="4" ht="22" customHeight="1">
      <c r="A4" s="11" t="inlineStr">
        <is>
          <t>#</t>
        </is>
      </c>
      <c r="B4" s="11" t="inlineStr">
        <is>
          <t>Proyecto / Cliente</t>
        </is>
      </c>
      <c r="C4" s="11" t="inlineStr">
        <is>
          <t>Servicio</t>
        </is>
      </c>
      <c r="D4" s="11" t="inlineStr">
        <is>
          <t>Inicio</t>
        </is>
      </c>
      <c r="E4" s="11" t="inlineStr">
        <is>
          <t>Entrega</t>
        </is>
      </c>
      <c r="F4" s="11" t="inlineStr">
        <is>
          <t>Estado</t>
        </is>
      </c>
      <c r="G4" s="11" t="inlineStr">
        <is>
          <t>Monto (USD)</t>
        </is>
      </c>
      <c r="H4" s="11" t="inlineStr">
        <is>
          <t>Cobrado</t>
        </is>
      </c>
    </row>
    <row r="5" ht="20" customHeight="1">
      <c r="A5" s="14" t="n">
        <v>1</v>
      </c>
      <c r="B5" s="13" t="inlineStr">
        <is>
          <t>Estudio Mira</t>
        </is>
      </c>
      <c r="C5" s="13" t="inlineStr">
        <is>
          <t>Diseño web</t>
        </is>
      </c>
      <c r="D5" s="14" t="inlineStr">
        <is>
          <t>01/05/2025</t>
        </is>
      </c>
      <c r="E5" s="14" t="inlineStr">
        <is>
          <t>08/05/2025</t>
        </is>
      </c>
      <c r="F5" s="32" t="inlineStr">
        <is>
          <t>Finalizado</t>
        </is>
      </c>
      <c r="G5" s="15" t="n">
        <v>150</v>
      </c>
      <c r="H5" s="15" t="n">
        <v>150</v>
      </c>
    </row>
    <row r="6" ht="20" customHeight="1">
      <c r="A6" s="19" t="n">
        <v>2</v>
      </c>
      <c r="B6" s="18" t="inlineStr">
        <is>
          <t>Café Lumière</t>
        </is>
      </c>
      <c r="C6" s="18" t="inlineStr">
        <is>
          <t>Redes sociales</t>
        </is>
      </c>
      <c r="D6" s="19" t="inlineStr">
        <is>
          <t>05/05/2025</t>
        </is>
      </c>
      <c r="E6" s="19" t="inlineStr">
        <is>
          <t>05/06/2025</t>
        </is>
      </c>
      <c r="F6" s="33" t="inlineStr">
        <is>
          <t>En curso</t>
        </is>
      </c>
      <c r="G6" s="20" t="n">
        <v>80</v>
      </c>
      <c r="H6" s="20" t="n">
        <v>40</v>
      </c>
    </row>
    <row r="7" ht="20" customHeight="1">
      <c r="A7" s="14" t="n">
        <v>3</v>
      </c>
      <c r="B7" s="13" t="inlineStr">
        <is>
          <t>Dr. Fernández</t>
        </is>
      </c>
      <c r="C7" s="13" t="inlineStr">
        <is>
          <t>Identidad de marca</t>
        </is>
      </c>
      <c r="D7" s="14" t="inlineStr">
        <is>
          <t>10/05/2025</t>
        </is>
      </c>
      <c r="E7" s="14" t="inlineStr">
        <is>
          <t>17/05/2025</t>
        </is>
      </c>
      <c r="F7" s="34" t="inlineStr">
        <is>
          <t>Entregado</t>
        </is>
      </c>
      <c r="G7" s="15" t="n">
        <v>120</v>
      </c>
      <c r="H7" s="15" t="n">
        <v>60</v>
      </c>
    </row>
    <row r="8" ht="20" customHeight="1">
      <c r="A8" s="19" t="n">
        <v>4</v>
      </c>
      <c r="B8" s="18" t="inlineStr"/>
      <c r="C8" s="18" t="inlineStr"/>
      <c r="D8" s="19" t="inlineStr"/>
      <c r="E8" s="19" t="inlineStr"/>
      <c r="F8" s="19" t="inlineStr"/>
      <c r="G8" s="19" t="inlineStr"/>
      <c r="H8" s="19" t="inlineStr"/>
    </row>
    <row r="9" ht="20" customHeight="1">
      <c r="A9" s="14" t="n">
        <v>5</v>
      </c>
      <c r="B9" s="13" t="inlineStr"/>
      <c r="C9" s="13" t="inlineStr"/>
      <c r="D9" s="14" t="inlineStr"/>
      <c r="E9" s="14" t="inlineStr"/>
      <c r="F9" s="14" t="inlineStr"/>
      <c r="G9" s="14" t="inlineStr"/>
      <c r="H9" s="14" t="inlineStr"/>
    </row>
    <row r="10" ht="20" customHeight="1">
      <c r="A10" s="19" t="n">
        <v>6</v>
      </c>
      <c r="B10" s="18" t="inlineStr"/>
      <c r="C10" s="18" t="inlineStr"/>
      <c r="D10" s="19" t="inlineStr"/>
      <c r="E10" s="19" t="inlineStr"/>
      <c r="F10" s="19" t="inlineStr"/>
      <c r="G10" s="19" t="inlineStr"/>
      <c r="H10" s="19" t="inlineStr"/>
    </row>
    <row r="11" ht="20" customHeight="1">
      <c r="A11" s="14" t="n">
        <v>7</v>
      </c>
      <c r="B11" s="13" t="inlineStr"/>
      <c r="C11" s="13" t="inlineStr"/>
      <c r="D11" s="14" t="inlineStr"/>
      <c r="E11" s="14" t="inlineStr"/>
      <c r="F11" s="14" t="inlineStr"/>
      <c r="G11" s="14" t="inlineStr"/>
      <c r="H11" s="14" t="inlineStr"/>
    </row>
    <row r="12" ht="20" customHeight="1">
      <c r="A12" s="19" t="n">
        <v>8</v>
      </c>
      <c r="B12" s="18" t="inlineStr"/>
      <c r="C12" s="18" t="inlineStr"/>
      <c r="D12" s="19" t="inlineStr"/>
      <c r="E12" s="19" t="inlineStr"/>
      <c r="F12" s="19" t="inlineStr"/>
      <c r="G12" s="19" t="inlineStr"/>
      <c r="H12" s="19" t="inlineStr"/>
    </row>
    <row r="14" ht="22" customHeight="1">
      <c r="B14" s="35" t="inlineStr">
        <is>
          <t>TOTAL FACTURADO / COBRADO</t>
        </is>
      </c>
      <c r="G14" s="36">
        <f>SUM(G5:G12)</f>
        <v/>
      </c>
      <c r="H14" s="36">
        <f>SUM(H5:H12)</f>
        <v/>
      </c>
    </row>
  </sheetData>
  <mergeCells count="2">
    <mergeCell ref="B2:H2"/>
    <mergeCell ref="B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</cols>
  <sheetData>
    <row r="2" ht="40" customHeight="1">
      <c r="B2" s="37" t="inlineStr">
        <is>
          <t>CALCULADORA DE PRECIO DE SERVICIOS</t>
        </is>
      </c>
    </row>
    <row r="4" ht="22" customHeight="1">
      <c r="B4" s="6" t="inlineStr">
        <is>
          <t>INPUTS — Completá los campos en azul</t>
        </is>
      </c>
    </row>
    <row r="5" ht="20" customHeight="1">
      <c r="B5" s="38" t="inlineStr">
        <is>
          <t>Horas estimadas del proyecto</t>
        </is>
      </c>
      <c r="C5" s="39" t="n">
        <v>10</v>
      </c>
      <c r="D5" s="40" t="inlineStr">
        <is>
          <t>hs</t>
        </is>
      </c>
    </row>
    <row r="6" ht="20" customHeight="1">
      <c r="B6" s="38" t="inlineStr">
        <is>
          <t>Valor hora deseado (USD)</t>
        </is>
      </c>
      <c r="C6" s="39" t="n">
        <v>25</v>
      </c>
      <c r="D6" s="40" t="inlineStr">
        <is>
          <t>USD/h</t>
        </is>
      </c>
    </row>
    <row r="7" ht="20" customHeight="1">
      <c r="B7" s="38" t="inlineStr">
        <is>
          <t>Costo de herramientas / licencias</t>
        </is>
      </c>
      <c r="C7" s="39" t="n">
        <v>20</v>
      </c>
      <c r="D7" s="40" t="inlineStr">
        <is>
          <t>USD</t>
        </is>
      </c>
    </row>
    <row r="8" ht="20" customHeight="1">
      <c r="B8" s="38" t="inlineStr">
        <is>
          <t>Margen de ganancia (%)</t>
        </is>
      </c>
      <c r="C8" s="39" t="n">
        <v>30</v>
      </c>
      <c r="D8" s="40" t="inlineStr">
        <is>
          <t>%</t>
        </is>
      </c>
    </row>
    <row r="9" ht="20" customHeight="1">
      <c r="B9" s="38" t="inlineStr">
        <is>
          <t>Descuento a aplicar (%)</t>
        </is>
      </c>
      <c r="C9" s="39" t="n">
        <v>0</v>
      </c>
      <c r="D9" s="40" t="inlineStr">
        <is>
          <t>%</t>
        </is>
      </c>
    </row>
    <row r="11" ht="22" customHeight="1">
      <c r="B11" s="6" t="inlineStr">
        <is>
          <t>RESULTADO</t>
        </is>
      </c>
    </row>
    <row r="12" ht="22" customHeight="1">
      <c r="B12" s="41" t="inlineStr">
        <is>
          <t>Costo base</t>
        </is>
      </c>
      <c r="C12" s="42">
        <f>C5*C6+C7</f>
        <v/>
      </c>
    </row>
    <row r="13" ht="22" customHeight="1">
      <c r="B13" s="41" t="inlineStr">
        <is>
          <t>Costo con margen</t>
        </is>
      </c>
      <c r="C13" s="42">
        <f>B13*(1+C8/100)</f>
        <v/>
      </c>
    </row>
    <row r="14" ht="22" customHeight="1">
      <c r="B14" s="41" t="inlineStr">
        <is>
          <t>Descuento</t>
        </is>
      </c>
      <c r="C14" s="42">
        <f>B14*(C9/100)</f>
        <v/>
      </c>
    </row>
    <row r="15" ht="22" customHeight="1">
      <c r="B15" s="43" t="inlineStr">
        <is>
          <t>PRECIO FINAL (USD)</t>
        </is>
      </c>
      <c r="C15" s="44">
        <f>B14-B15</f>
        <v/>
      </c>
    </row>
  </sheetData>
  <mergeCells count="3">
    <mergeCell ref="B11:D11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2026-04-08T17:33:24Z</dcterms:created>
  <dcterms:modified xmlns:dcterms="http://purl.org/dc/terms/" xmlns:xsi="http://www.w3.org/2001/XMLSchema-instance" xsi:type="dcterms:W3CDTF">2026-04-08T17:33:24Z</dcterms:modified>
</cp:coreProperties>
</file>